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kusz1" sheetId="1" state="visible" r:id="rId1"/>
    <sheet name="Arkusz2" sheetId="2" state="visible" r:id="rId2"/>
    <sheet name="Arkusz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y = f(x)</a:t>
            </a:r>
          </a:p>
        </rich>
      </tx>
    </title>
    <plotArea>
      <scatterChart>
        <ser>
          <idx val="0"/>
          <order val="0"/>
          <tx>
            <v>f(x)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'Arkusz2'!$D$2:$D$42</f>
            </numRef>
          </xVal>
          <yVal>
            <numRef>
              <f>'Arkusz2'!$E$2:$E$42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x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5"/>
  <sheetViews>
    <sheetView workbookViewId="0">
      <selection activeCell="A1" sqref="A1"/>
    </sheetView>
  </sheetViews>
  <sheetFormatPr baseColWidth="8" defaultRowHeight="15"/>
  <sheetData>
    <row r="2">
      <c r="B2" s="1">
        <f>(SQRT(1.65/5)+0.995)/((SIN(RADIANS(45))^2)+COS(RADIANS(30)))</f>
        <v/>
      </c>
      <c r="D2">
        <f>-3+RAND()*9</f>
        <v/>
      </c>
      <c r="E2">
        <f>IF(D2&gt;1,"WIEKSZA OD JEDEN",IF(D2=1,"JEDEN","MNIEJSZA OD JEDEN"))</f>
        <v/>
      </c>
    </row>
    <row r="3">
      <c r="B3" s="1">
        <f>(SQRT(1.65/5)+0.995)/((SIN(RADIANS(45))^2)+COS(RADIANS(30)))</f>
        <v/>
      </c>
      <c r="D3">
        <f>-3+RAND()*9</f>
        <v/>
      </c>
      <c r="E3">
        <f>IF(D3&gt;1,"WIEKSZA OD JEDEN",IF(D3=1,"JEDEN","MNIEJSZA OD JEDEN"))</f>
        <v/>
      </c>
    </row>
    <row r="4">
      <c r="B4" s="1">
        <f>(SQRT(1.65/5)+0.995)/((SIN(RADIANS(45))^2)+COS(RADIANS(30)))</f>
        <v/>
      </c>
      <c r="D4">
        <f>-3+RAND()*9</f>
        <v/>
      </c>
      <c r="E4">
        <f>IF(D4&gt;1,"WIEKSZA OD JEDEN",IF(D4=1,"JEDEN","MNIEJSZA OD JEDEN"))</f>
        <v/>
      </c>
    </row>
    <row r="5">
      <c r="B5" s="1">
        <f>(SQRT(1.65/5)+0.995)/((SIN(RADIANS(45))^2)+COS(RADIANS(30)))</f>
        <v/>
      </c>
      <c r="D5">
        <f>-3+RAND()*9</f>
        <v/>
      </c>
      <c r="E5">
        <f>IF(D5&gt;1,"WIEKSZA OD JEDEN",IF(D5=1,"JEDEN","MNIEJSZA OD JEDEN"))</f>
        <v/>
      </c>
    </row>
    <row r="6">
      <c r="B6" s="1">
        <f>(SQRT(1.65/5)+0.995)/((SIN(RADIANS(45))^2)+COS(RADIANS(30)))</f>
        <v/>
      </c>
      <c r="D6">
        <f>-3+RAND()*9</f>
        <v/>
      </c>
      <c r="E6">
        <f>IF(D6&gt;1,"WIEKSZA OD JEDEN",IF(D6=1,"JEDEN","MNIEJSZA OD JEDEN"))</f>
        <v/>
      </c>
    </row>
    <row r="7">
      <c r="B7" s="1">
        <f>(SQRT(1.65/5)+0.995)/((SIN(RADIANS(45))^2)+COS(RADIANS(30)))</f>
        <v/>
      </c>
      <c r="D7">
        <f>-3+RAND()*9</f>
        <v/>
      </c>
      <c r="E7">
        <f>IF(D7&gt;1,"WIEKSZA OD JEDEN",IF(D7=1,"JEDEN","MNIEJSZA OD JEDEN"))</f>
        <v/>
      </c>
    </row>
    <row r="8">
      <c r="B8" s="1">
        <f>(SQRT(1.65/5)+0.995)/((SIN(RADIANS(45))^2)+COS(RADIANS(30)))</f>
        <v/>
      </c>
      <c r="D8">
        <f>-3+RAND()*9</f>
        <v/>
      </c>
      <c r="E8">
        <f>IF(D8&gt;1,"WIEKSZA OD JEDEN",IF(D8=1,"JEDEN","MNIEJSZA OD JEDEN"))</f>
        <v/>
      </c>
    </row>
    <row r="9">
      <c r="B9" s="1">
        <f>(SQRT(1.65/5)+0.995)/((SIN(RADIANS(45))^2)+COS(RADIANS(30)))</f>
        <v/>
      </c>
      <c r="D9">
        <f>-3+RAND()*9</f>
        <v/>
      </c>
      <c r="E9">
        <f>IF(D9&gt;1,"WIEKSZA OD JEDEN",IF(D9=1,"JEDEN","MNIEJSZA OD JEDEN"))</f>
        <v/>
      </c>
    </row>
    <row r="10">
      <c r="B10" s="1">
        <f>(SQRT(1.65/5)+0.995)/((SIN(RADIANS(45))^2)+COS(RADIANS(30)))</f>
        <v/>
      </c>
      <c r="D10">
        <f>-3+RAND()*9</f>
        <v/>
      </c>
      <c r="E10">
        <f>IF(D10&gt;1,"WIEKSZA OD JEDEN",IF(D10=1,"JEDEN","MNIEJSZA OD JEDEN"))</f>
        <v/>
      </c>
    </row>
    <row r="11">
      <c r="B11" s="1">
        <f>(SQRT(1.65/5)+0.995)/((SIN(RADIANS(45))^2)+COS(RADIANS(30)))</f>
        <v/>
      </c>
    </row>
    <row r="12">
      <c r="B12" s="1">
        <f>(SQRT(1.65/5)+0.995)/((SIN(RADIANS(45))^2)+COS(RADIANS(30)))</f>
        <v/>
      </c>
    </row>
    <row r="13">
      <c r="B13" s="1">
        <f>(SQRT(1.65/5)+0.995)/((SIN(RADIANS(45))^2)+COS(RADIANS(30)))</f>
        <v/>
      </c>
    </row>
    <row r="14">
      <c r="B14" s="1">
        <f>(SQRT(1.65/5)+0.995)/((SIN(RADIANS(45))^2)+COS(RADIANS(30)))</f>
        <v/>
      </c>
    </row>
    <row r="15">
      <c r="B15" s="1">
        <f>(SQRT(1.65/5)+0.995)/((SIN(RADIANS(45))^2)+COS(RADIANS(30)))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42"/>
  <sheetViews>
    <sheetView workbookViewId="0">
      <selection activeCell="A1" sqref="A1"/>
    </sheetView>
  </sheetViews>
  <sheetFormatPr baseColWidth="8" defaultRowHeight="15"/>
  <sheetData>
    <row r="2">
      <c r="A2" t="inlineStr">
        <is>
          <t>a =</t>
        </is>
      </c>
      <c r="B2" t="n">
        <v>1</v>
      </c>
      <c r="D2" t="n">
        <v>-1</v>
      </c>
      <c r="E2">
        <f>SQRT((D2^2-$B$3)/($B$2-0.5*D2^2))</f>
        <v/>
      </c>
    </row>
    <row r="3">
      <c r="A3" t="inlineStr">
        <is>
          <t>b =</t>
        </is>
      </c>
      <c r="B3" t="n">
        <v>-2</v>
      </c>
      <c r="D3">
        <f>D2+$B$4</f>
        <v/>
      </c>
      <c r="E3">
        <f>SQRT((D3^2-$B$3)/($B$2-0.5*D3^2))</f>
        <v/>
      </c>
    </row>
    <row r="4">
      <c r="A4" t="inlineStr">
        <is>
          <t>c =</t>
        </is>
      </c>
      <c r="B4" t="n">
        <v>0.075</v>
      </c>
      <c r="D4">
        <f>D3+$B$4</f>
        <v/>
      </c>
      <c r="E4">
        <f>SQRT((D4^2-$B$3)/($B$2-0.5*D4^2))</f>
        <v/>
      </c>
    </row>
    <row r="5">
      <c r="D5">
        <f>D4+$B$4</f>
        <v/>
      </c>
      <c r="E5">
        <f>SQRT((D5^2-$B$3)/($B$2-0.5*D5^2))</f>
        <v/>
      </c>
    </row>
    <row r="6">
      <c r="D6">
        <f>D5+$B$4</f>
        <v/>
      </c>
      <c r="E6">
        <f>SQRT((D6^2-$B$3)/($B$2-0.5*D6^2))</f>
        <v/>
      </c>
    </row>
    <row r="7">
      <c r="D7">
        <f>D6+$B$4</f>
        <v/>
      </c>
      <c r="E7">
        <f>SQRT((D7^2-$B$3)/($B$2-0.5*D7^2))</f>
        <v/>
      </c>
    </row>
    <row r="8">
      <c r="D8">
        <f>D7+$B$4</f>
        <v/>
      </c>
      <c r="E8">
        <f>SQRT((D8^2-$B$3)/($B$2-0.5*D8^2))</f>
        <v/>
      </c>
    </row>
    <row r="9">
      <c r="D9">
        <f>D8+$B$4</f>
        <v/>
      </c>
      <c r="E9">
        <f>SQRT((D9^2-$B$3)/($B$2-0.5*D9^2))</f>
        <v/>
      </c>
    </row>
    <row r="10">
      <c r="D10">
        <f>D9+$B$4</f>
        <v/>
      </c>
      <c r="E10">
        <f>SQRT((D10^2-$B$3)/($B$2-0.5*D10^2))</f>
        <v/>
      </c>
    </row>
    <row r="11">
      <c r="D11">
        <f>D10+$B$4</f>
        <v/>
      </c>
      <c r="E11">
        <f>SQRT((D11^2-$B$3)/($B$2-0.5*D11^2))</f>
        <v/>
      </c>
    </row>
    <row r="12">
      <c r="D12">
        <f>D11+$B$4</f>
        <v/>
      </c>
      <c r="E12">
        <f>SQRT((D12^2-$B$3)/($B$2-0.5*D12^2))</f>
        <v/>
      </c>
    </row>
    <row r="13">
      <c r="D13">
        <f>D12+$B$4</f>
        <v/>
      </c>
      <c r="E13">
        <f>SQRT((D13^2-$B$3)/($B$2-0.5*D13^2))</f>
        <v/>
      </c>
    </row>
    <row r="14">
      <c r="D14">
        <f>D13+$B$4</f>
        <v/>
      </c>
      <c r="E14">
        <f>SQRT((D14^2-$B$3)/($B$2-0.5*D14^2))</f>
        <v/>
      </c>
    </row>
    <row r="15">
      <c r="D15">
        <f>D14+$B$4</f>
        <v/>
      </c>
      <c r="E15">
        <f>SQRT((D15^2-$B$3)/($B$2-0.5*D15^2))</f>
        <v/>
      </c>
    </row>
    <row r="16">
      <c r="D16">
        <f>D15+$B$4</f>
        <v/>
      </c>
      <c r="E16">
        <f>SQRT((D16^2-$B$3)/($B$2-0.5*D16^2))</f>
        <v/>
      </c>
    </row>
    <row r="17">
      <c r="D17">
        <f>D16+$B$4</f>
        <v/>
      </c>
      <c r="E17">
        <f>SQRT((D17^2-$B$3)/($B$2-0.5*D17^2))</f>
        <v/>
      </c>
    </row>
    <row r="18">
      <c r="D18">
        <f>D17+$B$4</f>
        <v/>
      </c>
      <c r="E18">
        <f>SQRT((D18^2-$B$3)/($B$2-0.5*D18^2))</f>
        <v/>
      </c>
    </row>
    <row r="19">
      <c r="D19">
        <f>D18+$B$4</f>
        <v/>
      </c>
      <c r="E19">
        <f>SQRT((D19^2-$B$3)/($B$2-0.5*D19^2))</f>
        <v/>
      </c>
    </row>
    <row r="20">
      <c r="D20">
        <f>D19+$B$4</f>
        <v/>
      </c>
      <c r="E20">
        <f>SQRT((D20^2-$B$3)/($B$2-0.5*D20^2))</f>
        <v/>
      </c>
    </row>
    <row r="21">
      <c r="D21">
        <f>D20+$B$4</f>
        <v/>
      </c>
      <c r="E21">
        <f>SQRT((D21^2-$B$3)/($B$2-0.5*D21^2))</f>
        <v/>
      </c>
    </row>
    <row r="22">
      <c r="D22">
        <f>D21+$B$4</f>
        <v/>
      </c>
      <c r="E22">
        <f>SQRT((D22^2-$B$3)/($B$2-0.5*D22^2))</f>
        <v/>
      </c>
    </row>
    <row r="23">
      <c r="D23">
        <f>D22+$B$4</f>
        <v/>
      </c>
      <c r="E23">
        <f>SQRT((D23^2-$B$3)/($B$2-0.5*D23^2))</f>
        <v/>
      </c>
    </row>
    <row r="24">
      <c r="D24">
        <f>D23+$B$4</f>
        <v/>
      </c>
      <c r="E24">
        <f>SQRT((D24^2-$B$3)/($B$2-0.5*D24^2))</f>
        <v/>
      </c>
    </row>
    <row r="25">
      <c r="D25">
        <f>D24+$B$4</f>
        <v/>
      </c>
      <c r="E25">
        <f>SQRT((D25^2-$B$3)/($B$2-0.5*D25^2))</f>
        <v/>
      </c>
    </row>
    <row r="26">
      <c r="D26">
        <f>D25+$B$4</f>
        <v/>
      </c>
      <c r="E26">
        <f>SQRT((D26^2-$B$3)/($B$2-0.5*D26^2))</f>
        <v/>
      </c>
    </row>
    <row r="27">
      <c r="D27">
        <f>D26+$B$4</f>
        <v/>
      </c>
      <c r="E27">
        <f>SQRT((D27^2-$B$3)/($B$2-0.5*D27^2))</f>
        <v/>
      </c>
    </row>
    <row r="28">
      <c r="D28">
        <f>D27+$B$4</f>
        <v/>
      </c>
      <c r="E28">
        <f>SQRT((D28^2-$B$3)/($B$2-0.5*D28^2))</f>
        <v/>
      </c>
    </row>
    <row r="29">
      <c r="D29">
        <f>D28+$B$4</f>
        <v/>
      </c>
      <c r="E29">
        <f>SQRT((D29^2-$B$3)/($B$2-0.5*D29^2))</f>
        <v/>
      </c>
    </row>
    <row r="30">
      <c r="D30">
        <f>D29+$B$4</f>
        <v/>
      </c>
      <c r="E30">
        <f>SQRT((D30^2-$B$3)/($B$2-0.5*D30^2))</f>
        <v/>
      </c>
    </row>
    <row r="31">
      <c r="D31">
        <f>D30+$B$4</f>
        <v/>
      </c>
      <c r="E31">
        <f>SQRT((D31^2-$B$3)/($B$2-0.5*D31^2))</f>
        <v/>
      </c>
    </row>
    <row r="32">
      <c r="D32">
        <f>D31+$B$4</f>
        <v/>
      </c>
      <c r="E32">
        <f>SQRT((D32^2-$B$3)/($B$2-0.5*D32^2))</f>
        <v/>
      </c>
    </row>
    <row r="33">
      <c r="D33">
        <f>D32+$B$4</f>
        <v/>
      </c>
      <c r="E33">
        <f>SQRT((D33^2-$B$3)/($B$2-0.5*D33^2))</f>
        <v/>
      </c>
    </row>
    <row r="34">
      <c r="D34">
        <f>D33+$B$4</f>
        <v/>
      </c>
      <c r="E34">
        <f>SQRT((D34^2-$B$3)/($B$2-0.5*D34^2))</f>
        <v/>
      </c>
    </row>
    <row r="35">
      <c r="D35">
        <f>D34+$B$4</f>
        <v/>
      </c>
      <c r="E35">
        <f>SQRT((D35^2-$B$3)/($B$2-0.5*D35^2))</f>
        <v/>
      </c>
    </row>
    <row r="36">
      <c r="D36">
        <f>D35+$B$4</f>
        <v/>
      </c>
      <c r="E36">
        <f>SQRT((D36^2-$B$3)/($B$2-0.5*D36^2))</f>
        <v/>
      </c>
    </row>
    <row r="37">
      <c r="D37">
        <f>D36+$B$4</f>
        <v/>
      </c>
      <c r="E37">
        <f>SQRT((D37^2-$B$3)/($B$2-0.5*D37^2))</f>
        <v/>
      </c>
    </row>
    <row r="38">
      <c r="D38">
        <f>D37+$B$4</f>
        <v/>
      </c>
      <c r="E38">
        <f>SQRT((D38^2-$B$3)/($B$2-0.5*D38^2))</f>
        <v/>
      </c>
    </row>
    <row r="39">
      <c r="D39">
        <f>D38+$B$4</f>
        <v/>
      </c>
      <c r="E39">
        <f>SQRT((D39^2-$B$3)/($B$2-0.5*D39^2))</f>
        <v/>
      </c>
    </row>
    <row r="40">
      <c r="D40">
        <f>D39+$B$4</f>
        <v/>
      </c>
      <c r="E40">
        <f>SQRT((D40^2-$B$3)/($B$2-0.5*D40^2))</f>
        <v/>
      </c>
    </row>
    <row r="41">
      <c r="D41">
        <f>D40+$B$4</f>
        <v/>
      </c>
      <c r="E41">
        <f>SQRT((D41^2-$B$3)/($B$2-0.5*D41^2))</f>
        <v/>
      </c>
    </row>
    <row r="42">
      <c r="D42">
        <f>D41+$B$4</f>
        <v/>
      </c>
      <c r="E42">
        <f>SQRT((D42^2-$B$3)/($B$2-0.5*D42^2))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16"/>
  <sheetViews>
    <sheetView workbookViewId="0">
      <selection activeCell="A1" sqref="A1"/>
    </sheetView>
  </sheetViews>
  <sheetFormatPr baseColWidth="8" defaultRowHeight="15"/>
  <sheetData>
    <row r="2">
      <c r="B2" t="n">
        <v>45</v>
      </c>
      <c r="C2" t="inlineStr">
        <is>
          <t>R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D3" t="n">
        <v>0</v>
      </c>
      <c r="E3">
        <f>COS(RADIANS($B$2))</f>
        <v/>
      </c>
      <c r="F3">
        <f>-SIN(RADIANS($B$2))</f>
        <v/>
      </c>
      <c r="G3" t="n">
        <v>0</v>
      </c>
      <c r="H3" t="n">
        <v>0</v>
      </c>
      <c r="I3" t="n">
        <v>0</v>
      </c>
    </row>
    <row r="4">
      <c r="D4" t="n">
        <v>0</v>
      </c>
      <c r="E4">
        <f>SIN(RADIANS($B$2))</f>
        <v/>
      </c>
      <c r="F4">
        <f>COS(RADIANS($B$2))</f>
        <v/>
      </c>
      <c r="G4" t="n">
        <v>0</v>
      </c>
      <c r="H4" t="n">
        <v>0</v>
      </c>
      <c r="I4" t="n">
        <v>0</v>
      </c>
    </row>
    <row r="5"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</row>
    <row r="6">
      <c r="D6" t="n">
        <v>0</v>
      </c>
      <c r="E6" t="n">
        <v>0</v>
      </c>
      <c r="F6" t="n">
        <v>0</v>
      </c>
      <c r="G6" t="n">
        <v>0</v>
      </c>
      <c r="H6">
        <f>COS(RADIANS($B$2))</f>
        <v/>
      </c>
      <c r="I6">
        <f>-SIN(RADIANS($B$2))</f>
        <v/>
      </c>
    </row>
    <row r="7">
      <c r="D7" t="n">
        <v>0</v>
      </c>
      <c r="E7" t="n">
        <v>0</v>
      </c>
      <c r="F7" t="n">
        <v>0</v>
      </c>
      <c r="G7" t="n">
        <v>0</v>
      </c>
      <c r="H7">
        <f>SIN(RADIANS($B$2))</f>
        <v/>
      </c>
      <c r="I7">
        <f>COS(RADIANS($B$2))</f>
        <v/>
      </c>
    </row>
    <row r="9">
      <c r="C9" t="inlineStr">
        <is>
          <t>K</t>
        </is>
      </c>
      <c r="D9">
        <f t="array" ref="D9:I14">MMULT(D2:I7,TRANSPOSE(D2:I7))</f>
        <v/>
      </c>
    </row>
    <row r="16">
      <c r="D16">
        <f>MDETERM(D2:I7)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2026-01-21T20:02:46Z</dcterms:created>
  <dcterms:modified xsi:type="dcterms:W3CDTF">2026-01-21T20:02:46Z</dcterms:modified>
</cp:coreProperties>
</file>